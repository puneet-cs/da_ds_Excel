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Drive-D\GFG DA Course\Microsoft Excel\Lect-1.11\Protect Worksheet and Workbook\"/>
    </mc:Choice>
  </mc:AlternateContent>
  <xr:revisionPtr revIDLastSave="0" documentId="13_ncr:1_{CD440B28-EE98-4E35-952F-472554CA1495}" xr6:coauthVersionLast="47" xr6:coauthVersionMax="47" xr10:uidLastSave="{00000000-0000-0000-0000-000000000000}"/>
  <bookViews>
    <workbookView xWindow="-108" yWindow="-108" windowWidth="23256" windowHeight="12456" tabRatio="884" xr2:uid="{00000000-000D-0000-FFFF-FFFF00000000}"/>
  </bookViews>
  <sheets>
    <sheet name="Protection" sheetId="21" r:id="rId1"/>
  </sheets>
  <definedNames>
    <definedName name="goal" localSheetId="0">Protection!$I$2</definedName>
    <definedName name="goal">#REF!</definedName>
    <definedName name="Gross_Margin">#REF!</definedName>
    <definedName name="List">#REF!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Protection!$I$2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21" l="1"/>
  <c r="F10" i="21" s="1"/>
  <c r="C10" i="21"/>
  <c r="D10" i="21"/>
  <c r="E10" i="21"/>
  <c r="B10" i="21"/>
  <c r="F9" i="21"/>
  <c r="I9" i="21" s="1"/>
  <c r="F7" i="21"/>
  <c r="I7" i="21" s="1"/>
  <c r="F6" i="21"/>
  <c r="I6" i="21" s="1"/>
  <c r="F5" i="21"/>
  <c r="I5" i="21" s="1"/>
  <c r="H8" i="21" l="1"/>
  <c r="I8" i="21"/>
  <c r="H6" i="21"/>
  <c r="H7" i="21"/>
  <c r="H5" i="21"/>
  <c r="H9" i="21"/>
  <c r="F12" i="21" l="1"/>
</calcChain>
</file>

<file path=xl/sharedStrings.xml><?xml version="1.0" encoding="utf-8"?>
<sst xmlns="http://schemas.openxmlformats.org/spreadsheetml/2006/main" count="17" uniqueCount="17">
  <si>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</si>
  <si>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</si>
  <si>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</si>
  <si>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</si>
  <si>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</si>
  <si>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</si>
  <si>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</si>
  <si>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</si>
  <si>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</si>
  <si>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Current number of sales people who haved reached their goal:</t>
  </si>
  <si>
    <t>Weekly Total</t>
  </si>
  <si>
    <t>Rahul</t>
  </si>
  <si>
    <t>Amit</t>
  </si>
  <si>
    <t>Puneet</t>
  </si>
  <si>
    <t>Sumit</t>
  </si>
  <si>
    <t>Akash</t>
  </si>
  <si>
    <t>Sales Figures -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</si>
</sst>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0_);[Red]\(0.00\)"/>
  </numFmts>
  <fonts count="1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6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164" fontId="6" fillId="4" borderId="9" xfId="1" applyFont="1" applyFill="1" applyBorder="1"/>
    <xf numFmtId="0" fontId="5" fillId="6" borderId="15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7" fillId="5" borderId="14" xfId="0" applyFont="1" applyFill="1" applyBorder="1" applyAlignment="1">
      <alignment horizontal="center"/>
    </xf>
    <xf numFmtId="165" fontId="0" fillId="7" borderId="2" xfId="0" applyNumberFormat="1" applyFill="1" applyBorder="1"/>
    <xf numFmtId="165" fontId="3" fillId="0" borderId="7" xfId="1" applyNumberFormat="1" applyFont="1" applyBorder="1" applyAlignment="1" applyProtection="1">
      <alignment horizontal="center"/>
    </xf>
    <xf numFmtId="165" fontId="3" fillId="0" borderId="17" xfId="1" applyNumberFormat="1" applyFont="1" applyBorder="1" applyAlignment="1" applyProtection="1">
      <alignment horizontal="center"/>
    </xf>
    <xf numFmtId="0" fontId="9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center"/>
    </xf>
    <xf numFmtId="0" fontId="6" fillId="5" borderId="11" xfId="0" applyFont="1" applyFill="1" applyBorder="1" applyAlignment="1">
      <alignment horizontal="right" vertical="center" wrapText="1"/>
    </xf>
    <xf numFmtId="0" fontId="6" fillId="5" borderId="13" xfId="0" applyFont="1" applyFill="1" applyBorder="1" applyAlignment="1">
      <alignment horizontal="right" vertical="center" wrapText="1"/>
    </xf>
    <xf numFmtId="0" fontId="6" fillId="5" borderId="1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165" fontId="0" fillId="0" borderId="2" xfId="1" applyNumberFormat="1" applyFont="1" applyBorder="1" applyAlignment="1" applyProtection="1">
      <alignment horizontal="left"/>
    </xf>
    <xf numFmtId="165" fontId="0" fillId="0" borderId="16" xfId="1" applyNumberFormat="1" applyFont="1" applyBorder="1" applyAlignment="1" applyProtection="1">
      <alignment horizontal="left"/>
    </xf>
  </cellXfs>
  <cellStyles count="5">
    <cellStyle name="Currency" xfId="1" builtinId="4"/>
    <cellStyle name="Normal" xfId="0" builtinId="0"/>
    <cellStyle name="Normal 2" xfId="2" xr:uid="{00000000-0005-0000-0000-000004000000}"/>
    <cellStyle name="Normal 3" xfId="3" xr:uid="{00000000-0005-0000-0000-000005000000}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04FF-24B7-41C9-87FE-D278FAB4D193}">
  <dimension ref="A1:L54"/>
  <sheetViews>
    <sheetView showGridLines="0" tabSelected="1" topLeftCell="A2" zoomScale="141" zoomScaleNormal="120" workbookViewId="0">
      <selection activeCell="H13" sqref="H13"/>
    </sheetView>
  </sheetViews>
  <sheetFormatPr defaultRowHeight="13.2" x14ac:dyDescent="0.25"/>
  <cols>
    <col min="1" max="1" width="15.5546875" customWidth="1"/>
    <col min="2" max="2" width="11.21875" customWidth="1"/>
    <col min="3" max="3" width="11.5546875" customWidth="1"/>
    <col min="4" max="4" width="11.77734375" customWidth="1"/>
    <col min="5" max="5" width="11.77734375" bestFit="1" customWidth="1"/>
    <col min="6" max="6" width="11.21875" customWidth="1"/>
    <col min="7" max="7" width="1.21875" customWidth="1"/>
    <col min="8" max="8" width="20.21875" customWidth="1"/>
    <col min="9" max="9" width="15.77734375" customWidth="1"/>
  </cols>
  <sheetData>
    <row r="1" spans="1:9" ht="13.8" thickBot="1" x14ac:dyDescent="0.3"/>
    <row r="2" spans="1:9" ht="16.2" thickBot="1" x14ac:dyDescent="0.35">
      <c r="A2" s="19" t="s">
        <v>16</v>
      </c>
      <c r="B2" s="19"/>
      <c r="C2" s="19"/>
      <c r="D2" s="19"/>
      <c r="E2" s="19"/>
      <c r="F2" s="19"/>
      <c r="H2" s="6" t="s">
        <v>0</v>
      </c>
      <c r="I2" s="11">
        <v>34000</v>
      </c>
    </row>
    <row r="3" spans="1:9" ht="14.4" thickTop="1" thickBot="1" x14ac:dyDescent="0.3"/>
    <row r="4" spans="1:9" ht="13.8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9" t="s">
        <v>6</v>
      </c>
      <c r="H4" s="10" t="s">
        <v>7</v>
      </c>
      <c r="I4" s="14" t="s">
        <v>8</v>
      </c>
    </row>
    <row r="5" spans="1:9" ht="15.6" x14ac:dyDescent="0.3">
      <c r="A5" s="4" t="s">
        <v>11</v>
      </c>
      <c r="B5" s="27">
        <v>9550</v>
      </c>
      <c r="C5" s="27">
        <v>9230</v>
      </c>
      <c r="D5" s="27">
        <v>8500</v>
      </c>
      <c r="E5" s="27">
        <v>8965</v>
      </c>
      <c r="F5" s="16">
        <f>SUM(B5:E5)</f>
        <v>36245</v>
      </c>
      <c r="H5" s="1" t="str">
        <f>IF(F5&gt;goal,"YES","NO")</f>
        <v>YES</v>
      </c>
      <c r="I5" s="2" t="str">
        <f>IF(AND(F5&gt;=goal,MIN(B5:E5)&gt;8000),"BONUS","NOT BONUS")</f>
        <v>BONUS</v>
      </c>
    </row>
    <row r="6" spans="1:9" ht="15.6" x14ac:dyDescent="0.3">
      <c r="A6" s="4" t="s">
        <v>12</v>
      </c>
      <c r="B6" s="27">
        <v>5975</v>
      </c>
      <c r="C6" s="27">
        <v>6900</v>
      </c>
      <c r="D6" s="27">
        <v>8500</v>
      </c>
      <c r="E6" s="27">
        <v>10100</v>
      </c>
      <c r="F6" s="16">
        <f>SUM(B6:E6)</f>
        <v>31475</v>
      </c>
      <c r="H6" s="1" t="str">
        <f>IF(F6&gt;goal,"YES","NO")</f>
        <v>NO</v>
      </c>
      <c r="I6" s="2" t="str">
        <f>IF(AND(F6&gt;=goal,MIN(B6:E6)&gt;8000),"BONUS","NOT BONUS")</f>
        <v>NOT BONUS</v>
      </c>
    </row>
    <row r="7" spans="1:9" ht="15.6" x14ac:dyDescent="0.3">
      <c r="A7" s="4" t="s">
        <v>13</v>
      </c>
      <c r="B7" s="27">
        <v>7425</v>
      </c>
      <c r="C7" s="27">
        <v>8580</v>
      </c>
      <c r="D7" s="27">
        <v>9910</v>
      </c>
      <c r="E7" s="27">
        <v>7512</v>
      </c>
      <c r="F7" s="16">
        <f>SUM(B7:E7)</f>
        <v>33427</v>
      </c>
      <c r="H7" s="1" t="str">
        <f>IF(F7&gt;$I$2,"YES","NO")</f>
        <v>NO</v>
      </c>
      <c r="I7" s="2" t="str">
        <f>IF(AND(F7&gt;=goal,MIN(B7:E7)&gt;8000),"BONUS","NOT BONUS")</f>
        <v>NOT BONUS</v>
      </c>
    </row>
    <row r="8" spans="1:9" ht="15.6" x14ac:dyDescent="0.3">
      <c r="A8" s="4" t="s">
        <v>14</v>
      </c>
      <c r="B8" s="27">
        <v>9560</v>
      </c>
      <c r="C8" s="27">
        <v>10150</v>
      </c>
      <c r="D8" s="27">
        <v>10200</v>
      </c>
      <c r="E8" s="27">
        <v>9795</v>
      </c>
      <c r="F8" s="16">
        <f>SUM(B8:E8)</f>
        <v>39705</v>
      </c>
      <c r="H8" s="1" t="str">
        <f t="shared" ref="H8:H9" si="0">IF(F8&gt;$I$2,"YES","NO")</f>
        <v>YES</v>
      </c>
      <c r="I8" s="2" t="str">
        <f>IF(AND(F8&gt;=goal,MIN(B8:E8)&gt;8000),"BONUS","NOT BONUS")</f>
        <v>BONUS</v>
      </c>
    </row>
    <row r="9" spans="1:9" ht="16.2" thickBot="1" x14ac:dyDescent="0.35">
      <c r="A9" s="5" t="s">
        <v>15</v>
      </c>
      <c r="B9" s="28">
        <v>7892</v>
      </c>
      <c r="C9" s="28">
        <v>7695</v>
      </c>
      <c r="D9" s="28">
        <v>9520</v>
      </c>
      <c r="E9" s="28">
        <v>10252</v>
      </c>
      <c r="F9" s="17">
        <f>SUM(B9:E9)</f>
        <v>35359</v>
      </c>
      <c r="H9" s="1" t="str">
        <f t="shared" si="0"/>
        <v>YES</v>
      </c>
      <c r="I9" s="2" t="str">
        <f>IF(AND(F9&gt;=goal,MIN(B9:E9)&gt;8000),"BONUS","NOT BONUS")</f>
        <v>NOT BONUS</v>
      </c>
    </row>
    <row r="10" spans="1:9" ht="13.8" x14ac:dyDescent="0.25">
      <c r="A10" s="12" t="s">
        <v>10</v>
      </c>
      <c r="B10" s="15">
        <f>SUM(B5:B9)</f>
        <v>40402</v>
      </c>
      <c r="C10" s="15">
        <f t="shared" ref="C10:F10" si="1">SUM(C5:C9)</f>
        <v>42555</v>
      </c>
      <c r="D10" s="15">
        <f t="shared" si="1"/>
        <v>46630</v>
      </c>
      <c r="E10" s="15">
        <f t="shared" si="1"/>
        <v>46624</v>
      </c>
      <c r="F10" s="15">
        <f t="shared" si="1"/>
        <v>176211</v>
      </c>
    </row>
    <row r="11" spans="1:9" ht="13.8" x14ac:dyDescent="0.25">
      <c r="A11" s="13"/>
    </row>
    <row r="12" spans="1:9" ht="16.5" customHeight="1" x14ac:dyDescent="0.25">
      <c r="A12" s="20" t="s">
        <v>9</v>
      </c>
      <c r="B12" s="21"/>
      <c r="C12" s="21"/>
      <c r="D12" s="21"/>
      <c r="E12" s="22"/>
      <c r="F12" s="3">
        <f>COUNTIF(H5:H9,"YES")</f>
        <v>3</v>
      </c>
    </row>
    <row r="14" spans="1:9" x14ac:dyDescent="0.25">
      <c r="B14" s="25"/>
      <c r="C14" s="25"/>
      <c r="D14" s="25"/>
      <c r="E14" s="25"/>
      <c r="F14" s="25"/>
      <c r="G14" s="25"/>
      <c r="H14" s="25"/>
      <c r="I14" s="25"/>
    </row>
    <row r="16" spans="1:9" x14ac:dyDescent="0.25">
      <c r="B16" s="23"/>
      <c r="C16" s="23"/>
      <c r="D16" s="23"/>
      <c r="E16" s="23"/>
      <c r="F16" s="23"/>
      <c r="G16" s="23"/>
      <c r="H16" s="23"/>
    </row>
    <row r="18" spans="2:9" ht="12.45" customHeight="1" x14ac:dyDescent="0.25">
      <c r="B18" s="26"/>
      <c r="C18" s="26"/>
      <c r="D18" s="26"/>
      <c r="E18" s="26"/>
      <c r="F18" s="26"/>
      <c r="G18" s="26"/>
      <c r="H18" s="26"/>
      <c r="I18" s="26"/>
    </row>
    <row r="19" spans="2:9" x14ac:dyDescent="0.25">
      <c r="B19" s="26"/>
      <c r="C19" s="26"/>
      <c r="D19" s="26"/>
      <c r="E19" s="26"/>
      <c r="F19" s="26"/>
      <c r="G19" s="26"/>
      <c r="H19" s="26"/>
      <c r="I19" s="26"/>
    </row>
    <row r="20" spans="2:9" x14ac:dyDescent="0.25">
      <c r="B20" s="23"/>
      <c r="C20" s="24"/>
      <c r="D20" s="24"/>
      <c r="E20" s="24"/>
      <c r="F20" s="24"/>
    </row>
    <row r="21" spans="2:9" x14ac:dyDescent="0.25">
      <c r="B21" s="26"/>
      <c r="C21" s="25"/>
      <c r="D21" s="25"/>
      <c r="E21" s="25"/>
      <c r="F21" s="25"/>
      <c r="G21" s="25"/>
      <c r="H21" s="25"/>
    </row>
    <row r="22" spans="2:9" x14ac:dyDescent="0.25">
      <c r="B22" s="25"/>
      <c r="C22" s="25"/>
      <c r="D22" s="25"/>
      <c r="E22" s="25"/>
      <c r="F22" s="25"/>
      <c r="G22" s="25"/>
      <c r="H22" s="25"/>
    </row>
    <row r="24" spans="2:9" x14ac:dyDescent="0.25">
      <c r="B24" s="23"/>
      <c r="C24" s="23"/>
      <c r="D24" s="23"/>
      <c r="E24" s="23"/>
      <c r="F24" s="23"/>
    </row>
    <row r="26" spans="2:9" x14ac:dyDescent="0.25">
      <c r="B26" s="23"/>
      <c r="C26" s="23"/>
      <c r="D26" s="23"/>
      <c r="E26" s="23"/>
      <c r="F26" s="23"/>
    </row>
    <row r="46" spans="2:12" ht="12.45" customHeight="1" x14ac:dyDescent="0.2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2:12" ht="12.45" customHeight="1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2:12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52" spans="2:12" x14ac:dyDescent="0.2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2:12" x14ac:dyDescent="0.2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2:12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</sheetData>
  <sheetProtection selectLockedCells="1"/>
  <mergeCells count="11">
    <mergeCell ref="B52:L54"/>
    <mergeCell ref="A2:F2"/>
    <mergeCell ref="A12:E12"/>
    <mergeCell ref="B20:F20"/>
    <mergeCell ref="B46:L48"/>
    <mergeCell ref="B24:F24"/>
    <mergeCell ref="B26:F26"/>
    <mergeCell ref="B14:I14"/>
    <mergeCell ref="B18:I19"/>
    <mergeCell ref="B21:H22"/>
    <mergeCell ref="B16:H16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Protection</vt:lpstr>
      <vt:lpstr>Protection!goal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Puneet Kansal</cp:lastModifiedBy>
  <cp:lastPrinted>2016-02-22T19:48:39Z</cp:lastPrinted>
  <dcterms:created xsi:type="dcterms:W3CDTF">2001-09-07T21:10:35Z</dcterms:created>
  <dcterms:modified xsi:type="dcterms:W3CDTF">2025-08-04T16:45:52Z</dcterms:modified>
</cp:coreProperties>
</file>